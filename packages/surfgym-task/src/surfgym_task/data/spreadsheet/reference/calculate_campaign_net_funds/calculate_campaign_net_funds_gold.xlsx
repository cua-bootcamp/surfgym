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fd6a9c13f245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34549e491a149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4">
    <x:font>
      <x:sz val="11"/>
      <x:color theme="1"/>
      <x:name val="等线"/>
    </x:font>
    <x:font>
      <x:sz val="9"/>
      <x:name val="等线"/>
    </x:font>
    <x:font>
      <x:b/>
      <x:sz val="11"/>
      <x:color rgb="FF1F2937"/>
      <x:name val="等线"/>
    </x:font>
    <x:font>
      <x:sz val="11"/>
      <x:color rgb="FF374151"/>
      <x:name val="等线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3">
    <x:border/>
    <x:border>
      <x:left style="thin">
        <x:color rgb="FFC8D3DF"/>
      </x:left>
      <x:right style="thin">
        <x:color rgb="FFC8D3DF"/>
      </x:right>
      <x:top style="thin">
        <x:color rgb="FFC8D3DF"/>
      </x:top>
      <x:bottom style="thin">
        <x:color rgb="FFC8D3DF"/>
      </x:bottom>
    </x:border>
    <x:border>
      <x:left style="thin">
        <x:color rgb="FFE1E7EF"/>
      </x:left>
      <x:right style="thin">
        <x:color rgb="FFE1E7EF"/>
      </x:right>
      <x:top style="thin">
        <x:color rgb="FFE1E7EF"/>
      </x:top>
      <x:bottom style="thin">
        <x:color rgb="FFE1E7EF"/>
      </x:bottom>
    </x:border>
  </x:borders>
  <x:cellStyleXfs count="1">
    <x:xf numFmtId="0" fontId="0" fillId="0" borderId="0">
      <x:alignment vertical="center"/>
    </x:xf>
  </x:cellStyleXfs>
  <x:cellXfs count="7">
    <x:xf numFmtId="0" fontId="0" fillId="0" borderId="0" xfId="0">
      <x:alignment vertical="center"/>
    </x:xf>
    <x:xf numFmtId="0" fontId="0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2" xfId="0" applyNumberFormat="1" applyFont="1" applyFill="1" applyBorder="1" applyAlignment="1">
      <x:alignment vertical="center"/>
    </x:xf>
    <x:xf numFmtId="200" fontId="3" fillId="0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b24555877047a8" /><Relationship Type="http://schemas.openxmlformats.org/officeDocument/2006/relationships/theme" Target="/xl/theme/theme1.xml" Id="R1b59ae105981429f" /><Relationship Type="http://schemas.openxmlformats.org/officeDocument/2006/relationships/sharedStrings" Target="/xl/sharedStrings.xml" Id="R8b2fc3357871414b" /><Relationship Type="http://schemas.openxmlformats.org/officeDocument/2006/relationships/worksheet" Target="/xl/worksheets/sheet1.xml" Id="R434549e491a149b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3.800000190734863"/>
  <x:cols>
    <x:col min="2" max="2" width="16" hidden="0" customWidth="1"/>
    <x:col min="1" max="1" width="24" hidden="0" customWidth="1"/>
    <x:col min="3" max="3" width="22" hidden="0" customWidth="1"/>
    <x:col min="4" max="4" width="16" hidden="0" customWidth="1"/>
  </x:cols>
  <x:sheetData>
    <x:row r="1" ht="28" customHeight="1">
      <x:c r="A1" s="3" t="str">
        <x:v>Campaign</x:v>
      </x:c>
      <x:c r="B1" s="3" t="str">
        <x:v>Donations</x:v>
      </x:c>
      <x:c r="C1" s="3" t="str">
        <x:v>Campaign Expenses</x:v>
      </x:c>
      <x:c r="D1" s="3" t="str">
        <x:v>Net Funds</x:v>
      </x:c>
    </x:row>
    <x:row r="2" ht="23" customHeight="1">
      <x:c r="A2" s="5" t="str">
        <x:v>Spring Meals</x:v>
      </x:c>
      <x:c r="B2" s="6" t="n">
        <x:v>18450</x:v>
      </x:c>
      <x:c r="C2" s="6" t="n">
        <x:v>12680.75</x:v>
      </x:c>
      <x:c r="D2" s="6" t="n">
        <x:f>B2-C2</x:f>
        <x:v>5769.25</x:v>
      </x:c>
    </x:row>
    <x:row r="3" ht="23" customHeight="1">
      <x:c r="A3" s="5" t="str">
        <x:v>School Supply Drive</x:v>
      </x:c>
      <x:c r="B3" s="6" t="n">
        <x:v>22780</x:v>
      </x:c>
      <x:c r="C3" s="6" t="n">
        <x:v>15420.5</x:v>
      </x:c>
      <x:c r="D3" s="6" t="n">
        <x:f t="shared" ref="D3:D11" si="0">B3-C3</x:f>
        <x:v>7359.5</x:v>
      </x:c>
    </x:row>
    <x:row r="4" ht="23" customHeight="1">
      <x:c r="A4" s="5" t="str">
        <x:v>River Cleanup</x:v>
      </x:c>
      <x:c r="B4" s="6" t="n">
        <x:v>13960.5</x:v>
      </x:c>
      <x:c r="C4" s="6" t="n">
        <x:v>11840.25</x:v>
      </x:c>
      <x:c r="D4" s="6" t="n">
        <x:f t="shared" si="0">B4-C4</x:f>
        <x:v>2120.25</x:v>
      </x:c>
    </x:row>
    <x:row r="5" ht="23" customHeight="1">
      <x:c r="A5" s="5" t="str">
        <x:v>Winter Shelter</x:v>
      </x:c>
      <x:c r="B5" s="6" t="n">
        <x:v>31200</x:v>
      </x:c>
      <x:c r="C5" s="6" t="n">
        <x:v>28975.8</x:v>
      </x:c>
      <x:c r="D5" s="6" t="n">
        <x:f t="shared" si="0">B5-C5</x:f>
        <x:v>2224.2000000000007</x:v>
      </x:c>
    </x:row>
    <x:row r="6" ht="23" customHeight="1">
      <x:c r="A6" s="5" t="str">
        <x:v>Mobile Clinic</x:v>
      </x:c>
      <x:c r="B6" s="6" t="n">
        <x:v>26540.75</x:v>
      </x:c>
      <x:c r="C6" s="6" t="n">
        <x:v>17730.4</x:v>
      </x:c>
      <x:c r="D6" s="6" t="n">
        <x:f t="shared" si="0">B6-C6</x:f>
        <x:v>8810.349999999999</x:v>
      </x:c>
    </x:row>
    <x:row r="7" ht="23" customHeight="1">
      <x:c r="A7" s="5" t="str">
        <x:v>Library Renewal</x:v>
      </x:c>
      <x:c r="B7" s="6" t="n">
        <x:v>19885</x:v>
      </x:c>
      <x:c r="C7" s="6" t="n">
        <x:v>20640.65</x:v>
      </x:c>
      <x:c r="D7" s="6" t="n">
        <x:f t="shared" si="0">B7-C7</x:f>
        <x:v>-755.6500000000015</x:v>
      </x:c>
    </x:row>
    <x:row r="8" ht="23" customHeight="1">
      <x:c r="A8" s="5" t="str">
        <x:v>Food Pantry</x:v>
      </x:c>
      <x:c r="B8" s="6" t="n">
        <x:v>28470.25</x:v>
      </x:c>
      <x:c r="C8" s="6" t="n">
        <x:v>21455.15</x:v>
      </x:c>
      <x:c r="D8" s="6" t="n">
        <x:f t="shared" si="0">B8-C8</x:f>
        <x:v>7015.0999999999985</x:v>
      </x:c>
    </x:row>
    <x:row r="9" ht="23" customHeight="1">
      <x:c r="A9" s="5" t="str">
        <x:v>Tree Planting</x:v>
      </x:c>
      <x:c r="B9" s="6" t="n">
        <x:v>16225.5</x:v>
      </x:c>
      <x:c r="C9" s="6" t="n">
        <x:v>9790.25</x:v>
      </x:c>
      <x:c r="D9" s="6" t="n">
        <x:f t="shared" si="0">B9-C9</x:f>
        <x:v>6435.25</x:v>
      </x:c>
    </x:row>
    <x:row r="10" ht="23" customHeight="1">
      <x:c r="A10" s="5" t="str">
        <x:v>Youth Arts</x:v>
      </x:c>
      <x:c r="B10" s="6" t="n">
        <x:v>24560</x:v>
      </x:c>
      <x:c r="C10" s="6" t="n">
        <x:v>18325.75</x:v>
      </x:c>
      <x:c r="D10" s="6" t="n">
        <x:f t="shared" si="0">B10-C10</x:f>
        <x:v>6234.25</x:v>
      </x:c>
    </x:row>
    <x:row r="11" ht="23" customHeight="1">
      <x:c r="A11" s="5" t="str">
        <x:v>Senior Transport</x:v>
      </x:c>
      <x:c r="B11" s="6" t="n">
        <x:v>17540.75</x:v>
      </x:c>
      <x:c r="C11" s="6" t="n">
        <x:v>12890.4</x:v>
      </x:c>
      <x:c r="D11" s="6" t="n">
        <x:f t="shared" si="0">B11-C11</x:f>
        <x:v>4650.35</x:v>
      </x:c>
    </x:row>
    <x:row r="12" ht="23" customHeight="1">
      <x:c r="A12" s="5" t="str">
        <x:v>Emergency Relief</x:v>
      </x:c>
      <x:c r="B12" s="6" t="n">
        <x:v>35420.5</x:v>
      </x:c>
      <x:c r="C12" s="6" t="n">
        <x:v>27480.85</x:v>
      </x:c>
      <x:c r="D12" s="6" t="n">
        <x:f>B12-C12</x:f>
        <x:v>7939.6500000000015</x:v>
      </x:c>
    </x:row>
    <x:row r="13" ht="23" customHeight="1">
      <x:c r="A13" s="5" t="str">
        <x:v>Community Garden</x:v>
      </x:c>
      <x:c r="B13" s="6" t="n">
        <x:v>14380</x:v>
      </x:c>
      <x:c r="C13" s="6" t="n">
        <x:v>8655.35</x:v>
      </x:c>
      <x:c r="D13" s="6" t="n">
        <x:f>B13-C13</x:f>
        <x:v>5724.65</x:v>
      </x:c>
    </x:row>
  </x:sheetData>
  <x:pageMargins left="0.7" right="0.7" top="0.75" bottom="0.75" header="0.3" footer="0.3"/>
</x:worksheet>
</file>