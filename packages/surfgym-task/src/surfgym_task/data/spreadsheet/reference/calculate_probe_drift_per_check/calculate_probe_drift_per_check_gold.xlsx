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6aef80fc940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c2052d0cb14e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5">
    <x:border/>
    <x:border>
      <x:bottom style="medium">
        <x:color rgb="FF94A3B8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1" fontId="0" fillId="0" borderId="4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202" fontId="0" fillId="0" borderId="4" xfId="0" applyNumberFormat="1" applyFont="1" applyFill="1" applyBorder="1"/>
    <x:xf numFmtId="201" fontId="0" fillId="0" borderId="2" xfId="0" applyNumberFormat="1" applyFont="1" applyFill="1" applyBorder="1" applyAlignment="1">
      <x:alignment horizontal="right"/>
    </x:xf>
    <x:xf numFmtId="202" fontId="0" fillId="0" borderId="2" xfId="0" applyNumberFormat="1" applyFont="1" applyFill="1" applyBorder="1" applyAlignment="1">
      <x:alignment horizontal="right"/>
    </x:xf>
    <x:xf numFmtId="201" fontId="0" fillId="0" borderId="3" xfId="0" applyNumberFormat="1" applyFont="1" applyFill="1" applyBorder="1" applyAlignment="1">
      <x:alignment horizontal="right"/>
    </x:xf>
    <x:xf numFmtId="202" fontId="0" fillId="0" borderId="3" xfId="0" applyNumberFormat="1" applyFont="1" applyFill="1" applyBorder="1" applyAlignment="1">
      <x:alignment horizontal="right"/>
    </x:xf>
    <x:xf numFmtId="201" fontId="0" fillId="0" borderId="4" xfId="0" applyNumberFormat="1" applyFont="1" applyFill="1" applyBorder="1" applyAlignment="1">
      <x:alignment horizontal="right"/>
    </x:xf>
    <x:xf numFmtId="202" fontId="0" fillId="0" borderId="4" xfId="0" applyNumberFormat="1" applyFont="1" applyFill="1" applyBorder="1" applyAlignment="1">
      <x:alignment horizontal="right"/>
    </x:xf>
  </x:cellXfs>
  <x:cellStyles count="1">
    <x:cellStyle name="Normal" xfId="0"/>
  </x:cellStyles>
  <x:dxfs count="1">
    <x:dxf>
      <x:font>
        <x:color rgb="FF00FF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b49ab8af6b49eb" /><Relationship Type="http://schemas.openxmlformats.org/officeDocument/2006/relationships/theme" Target="/xl/theme/theme1.xml" Id="R4a04d8a606ce48ab" /><Relationship Type="http://schemas.openxmlformats.org/officeDocument/2006/relationships/sharedStrings" Target="/xl/sharedStrings.xml" Id="Rd0556136847b4693" /><Relationship Type="http://schemas.openxmlformats.org/officeDocument/2006/relationships/worksheet" Target="/xl/worksheets/sheet1.xml" Id="R16c2052d0cb14e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779999732971191" hidden="0" customWidth="1"/>
    <x:col min="2" max="2" width="16.670000076293945" hidden="0" customWidth="1"/>
    <x:col min="3" max="3" width="15.5600004196167" hidden="0" customWidth="1"/>
    <x:col min="4" max="4" width="18.889999389648438" hidden="0" customWidth="1"/>
  </x:cols>
  <x:sheetData>
    <x:row r="1" ht="21" customHeight="1">
      <x:c r="A1" s="3" t="str">
        <x:v>Probe ID</x:v>
      </x:c>
      <x:c r="B1" s="3" t="str">
        <x:v>Annual Drift (%)</x:v>
      </x:c>
      <x:c r="C1" s="3" t="str">
        <x:v>Checks per Year</x:v>
      </x:c>
      <x:c r="D1" s="3" t="str">
        <x:v>Drift per Check (%)</x:v>
      </x:c>
    </x:row>
    <x:row r="2" ht="18" customHeight="1">
      <x:c r="A2" s="7" t="str">
        <x:v>DO-201</x:v>
      </x:c>
      <x:c r="B2" s="16" t="n">
        <x:v>5.76</x:v>
      </x:c>
      <x:c r="C2" s="17" t="n">
        <x:v>12</x:v>
      </x:c>
      <x:c r="D2" s="16" t="n">
        <x:f>B2/C2</x:f>
        <x:v>0.48</x:v>
      </x:c>
    </x:row>
    <x:row r="3" ht="18" customHeight="1">
      <x:c r="A3" s="8" t="str">
        <x:v>PH-114</x:v>
      </x:c>
      <x:c r="B3" s="18" t="n">
        <x:v>4.32</x:v>
      </x:c>
      <x:c r="C3" s="19" t="n">
        <x:v>6</x:v>
      </x:c>
      <x:c r="D3" s="18" t="n">
        <x:f>B3/C3</x:f>
        <x:v>0.7200000000000001</x:v>
      </x:c>
    </x:row>
    <x:row r="4" ht="18" customHeight="1">
      <x:c r="A4" s="8" t="str">
        <x:v>COND-308</x:v>
      </x:c>
      <x:c r="B4" s="18" t="n">
        <x:v>3.8</x:v>
      </x:c>
      <x:c r="C4" s="19" t="n">
        <x:v>4</x:v>
      </x:c>
      <x:c r="D4" s="18" t="n">
        <x:f>B4/C4</x:f>
        <x:v>0.95</x:v>
      </x:c>
    </x:row>
    <x:row r="5" ht="18" customHeight="1">
      <x:c r="A5" s="8" t="str">
        <x:v>TURB-052</x:v>
      </x:c>
      <x:c r="B5" s="18" t="n">
        <x:v>13.86</x:v>
      </x:c>
      <x:c r="C5" s="19" t="n">
        <x:v>3</x:v>
      </x:c>
      <x:c r="D5" s="18" t="n">
        <x:f>B5/C5</x:f>
        <x:v>4.62</x:v>
      </x:c>
    </x:row>
    <x:row r="6" ht="18" customHeight="1">
      <x:c r="A6" s="8" t="str">
        <x:v>ORP-176</x:v>
      </x:c>
      <x:c r="B6" s="18" t="n">
        <x:v>4.72</x:v>
      </x:c>
      <x:c r="C6" s="19" t="n">
        <x:v>4</x:v>
      </x:c>
      <x:c r="D6" s="18" t="n">
        <x:f>B6/C6</x:f>
        <x:v>1.18</x:v>
      </x:c>
    </x:row>
    <x:row r="7" ht="18" customHeight="1">
      <x:c r="A7" s="8" t="str">
        <x:v>TEMP-441</x:v>
      </x:c>
      <x:c r="B7" s="18" t="n">
        <x:v>2.88</x:v>
      </x:c>
      <x:c r="C7" s="19" t="n">
        <x:v>8</x:v>
      </x:c>
      <x:c r="D7" s="18" t="n">
        <x:f>B7/C7</x:f>
        <x:v>0.36</x:v>
      </x:c>
    </x:row>
    <x:row r="8" ht="18" customHeight="1">
      <x:c r="A8" s="8" t="str">
        <x:v>NH4-063</x:v>
      </x:c>
      <x:c r="B8" s="18" t="n">
        <x:v>8.7</x:v>
      </x:c>
      <x:c r="C8" s="19" t="n">
        <x:v>6</x:v>
      </x:c>
      <x:c r="D8" s="18" t="n">
        <x:f>B8/C8</x:f>
        <x:v>1.45</x:v>
      </x:c>
    </x:row>
    <x:row r="9" ht="18" customHeight="1">
      <x:c r="A9" s="8" t="str">
        <x:v>NO3-219</x:v>
      </x:c>
      <x:c r="B9" s="18" t="n">
        <x:v>6.72</x:v>
      </x:c>
      <x:c r="C9" s="19" t="n">
        <x:v>8</x:v>
      </x:c>
      <x:c r="D9" s="18" t="n">
        <x:f>B9/C9</x:f>
        <x:v>0.84</x:v>
      </x:c>
    </x:row>
    <x:row r="10" ht="18" customHeight="1">
      <x:c r="A10" s="8" t="str">
        <x:v>CHL-087</x:v>
      </x:c>
      <x:c r="B10" s="18" t="n">
        <x:v>6.48</x:v>
      </x:c>
      <x:c r="C10" s="19" t="n">
        <x:v>4</x:v>
      </x:c>
      <x:c r="D10" s="18" t="n">
        <x:f>B10/C10</x:f>
        <x:v>1.62</x:v>
      </x:c>
    </x:row>
    <x:row r="11" ht="18" customHeight="1">
      <x:c r="A11" s="8" t="str">
        <x:v>PAR-155</x:v>
      </x:c>
      <x:c r="B11" s="18" t="n">
        <x:v>6.96</x:v>
      </x:c>
      <x:c r="C11" s="19" t="n">
        <x:v>12</x:v>
      </x:c>
      <x:c r="D11" s="18" t="n">
        <x:f>B11/C11</x:f>
        <x:v>0.58</x:v>
      </x:c>
    </x:row>
    <x:row r="12" ht="18" customHeight="1">
      <x:c r="A12" s="8" t="str">
        <x:v>SAL-332</x:v>
      </x:c>
      <x:c r="B12" s="18" t="n">
        <x:v>6.3</x:v>
      </x:c>
      <x:c r="C12" s="19" t="n">
        <x:v>6</x:v>
      </x:c>
      <x:c r="D12" s="18" t="n">
        <x:f>B12/C12</x:f>
        <x:v>1.05</x:v>
      </x:c>
    </x:row>
    <x:row r="13" ht="18" customHeight="1">
      <x:c r="A13" s="8" t="str">
        <x:v>DEPTH-098</x:v>
      </x:c>
      <x:c r="B13" s="18" t="n">
        <x:v>5.28</x:v>
      </x:c>
      <x:c r="C13" s="19" t="n">
        <x:v>12</x:v>
      </x:c>
      <x:c r="D13" s="18" t="n">
        <x:f>B13/C13</x:f>
        <x:v>0.44</x:v>
      </x:c>
    </x:row>
    <x:row r="14" ht="18" customHeight="1">
      <x:c r="A14" s="8" t="str">
        <x:v>FLOW-264</x:v>
      </x:c>
      <x:c r="B14" s="18" t="n">
        <x:v>8.6</x:v>
      </x:c>
      <x:c r="C14" s="19" t="n">
        <x:v>4</x:v>
      </x:c>
      <x:c r="D14" s="18" t="n">
        <x:f>B14/C14</x:f>
        <x:v>2.15</x:v>
      </x:c>
    </x:row>
    <x:row r="15" ht="18" customHeight="1">
      <x:c r="A15" s="8" t="str">
        <x:v>PRESS-173</x:v>
      </x:c>
      <x:c r="B15" s="18" t="n">
        <x:v>3.96</x:v>
      </x:c>
      <x:c r="C15" s="19" t="n">
        <x:v>6</x:v>
      </x:c>
      <x:c r="D15" s="18" t="n">
        <x:f>B15/C15</x:f>
        <x:v>0.66</x:v>
      </x:c>
    </x:row>
    <x:row r="16" ht="18" customHeight="1">
      <x:c r="A16" s="8" t="str">
        <x:v>CO2-126</x:v>
      </x:c>
      <x:c r="B16" s="18" t="n">
        <x:v>7.92</x:v>
      </x:c>
      <x:c r="C16" s="19" t="n">
        <x:v>6</x:v>
      </x:c>
      <x:c r="D16" s="18" t="n">
        <x:f>B16/C16</x:f>
        <x:v>1.32</x:v>
      </x:c>
    </x:row>
    <x:row r="17" ht="18" customHeight="1">
      <x:c r="A17" s="8" t="str">
        <x:v>ALK-075</x:v>
      </x:c>
      <x:c r="B17" s="18" t="n">
        <x:v>6.24</x:v>
      </x:c>
      <x:c r="C17" s="19" t="n">
        <x:v>8</x:v>
      </x:c>
      <x:c r="D17" s="18" t="n">
        <x:f>B17/C17</x:f>
        <x:v>0.78</x:v>
      </x:c>
    </x:row>
    <x:row r="18" ht="18" customHeight="1">
      <x:c r="A18" s="8" t="str">
        <x:v>TDS-286</x:v>
      </x:c>
      <x:c r="B18" s="18" t="n">
        <x:v>3.12</x:v>
      </x:c>
      <x:c r="C18" s="19" t="n">
        <x:v>6</x:v>
      </x:c>
      <x:c r="D18" s="18" t="n">
        <x:f>B18/C18</x:f>
        <x:v>0.52</x:v>
      </x:c>
    </x:row>
    <x:row r="19" ht="18" customHeight="1">
      <x:c r="A19" s="8" t="str">
        <x:v>UV-194</x:v>
      </x:c>
      <x:c r="B19" s="18" t="n">
        <x:v>7.52</x:v>
      </x:c>
      <x:c r="C19" s="19" t="n">
        <x:v>4</x:v>
      </x:c>
      <x:c r="D19" s="18" t="n">
        <x:f>B19/C19</x:f>
        <x:v>1.88</x:v>
      </x:c>
    </x:row>
    <x:row r="20" ht="18" customHeight="1">
      <x:c r="A20" s="8" t="str">
        <x:v>OIL-044</x:v>
      </x:c>
      <x:c r="B20" s="18" t="n">
        <x:v>7.26</x:v>
      </x:c>
      <x:c r="C20" s="19" t="n">
        <x:v>3</x:v>
      </x:c>
      <x:c r="D20" s="18" t="n">
        <x:f>B20/C20</x:f>
        <x:v>2.42</x:v>
      </x:c>
    </x:row>
    <x:row r="21" ht="18" customHeight="1">
      <x:c r="A21" s="9" t="str">
        <x:v>FLUOR-237</x:v>
      </x:c>
      <x:c r="B21" s="20" t="n">
        <x:v>4.48</x:v>
      </x:c>
      <x:c r="C21" s="21" t="n">
        <x:v>4</x:v>
      </x:c>
      <x:c r="D21" s="20" t="n">
        <x:f>B21/C21</x:f>
        <x:v>1.12</x:v>
      </x:c>
    </x:row>
  </x:sheetData>
  <x:conditionalFormatting sqref="D2:D21">
    <x:cfRule type="expression" dxfId="0" priority="1">
      <x:formula>D2=MAX($D$2:$D$21)</x:formula>
    </x:cfRule>
  </x:conditionalFormatting>
  <x:pageMargins left="0.7" right="0.7" top="0.75" bottom="0.75" header="0.3" footer="0.3"/>
</x:worksheet>
</file>