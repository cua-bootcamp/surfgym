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7"/>
  <workbookPr/>
  <mc:AlternateContent xmlns:mc="http://schemas.openxmlformats.org/markup-compatibility/2006">
    <mc:Choice Requires="x15">
      <x15ac:absPath xmlns:x15ac="http://schemas.microsoft.com/office/spreadsheetml/2010/11/ac" url="/Users/goonco/01_workspace/09_llm-lab/cua-boot/surfgym/packages/surfgym-task/src/surfgym_task/data/spreadsheet/reference/04d9aeaf-7bed-4024-bedb-e10e6f00eb7f/"/>
    </mc:Choice>
  </mc:AlternateContent>
  <xr:revisionPtr revIDLastSave="0" documentId="13_ncr:1_{EF8322F5-6CB9-0C44-A9A2-AE64CF810A57}" xr6:coauthVersionLast="47" xr6:coauthVersionMax="47" xr10:uidLastSave="{00000000-0000-0000-0000-000000000000}"/>
  <bookViews>
    <workbookView xWindow="0" yWindow="780" windowWidth="34200" windowHeight="21460" xr2:uid="{00000000-000D-0000-FFFF-FFFF00000000}"/>
  </bookViews>
  <sheets>
    <sheet name="Sheet2" sheetId="1" r:id="rId1"/>
    <sheet name="Sheet1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C6" i="1"/>
  <c r="B6" i="1"/>
  <c r="D5" i="1"/>
  <c r="C5" i="1"/>
  <c r="B5" i="1"/>
  <c r="D4" i="1"/>
  <c r="C4" i="1"/>
  <c r="B4" i="1"/>
  <c r="D3" i="1"/>
  <c r="C3" i="1"/>
  <c r="B3" i="1"/>
  <c r="D2" i="1"/>
  <c r="C2" i="1"/>
  <c r="B2" i="1"/>
</calcChain>
</file>

<file path=xl/sharedStrings.xml><?xml version="1.0" encoding="utf-8"?>
<sst xmlns="http://schemas.openxmlformats.org/spreadsheetml/2006/main" count="13" uniqueCount="12">
  <si>
    <t>Year</t>
  </si>
  <si>
    <t>Assets</t>
  </si>
  <si>
    <t>Current Liabilities</t>
  </si>
  <si>
    <t>Long-term Liabilities</t>
  </si>
  <si>
    <t>Owner's Equity</t>
  </si>
  <si>
    <t>Liabilities &amp; Owner's Equity</t>
  </si>
  <si>
    <t>Cash &amp; Equivalents</t>
  </si>
  <si>
    <t>Inventory</t>
  </si>
  <si>
    <t>Property &amp; Equipment</t>
  </si>
  <si>
    <t>Cash changes</t>
  </si>
  <si>
    <t>Inventory changes</t>
  </si>
  <si>
    <t>PPE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</si>
</sst>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\$* #,##0.00_ ;_-\$* \-#,##0.00\ ;_-\$* &quot;-&quot;??_ ;_-@_ "/>
    <numFmt numFmtId="180" formatCode="_(&quot;$&quot;* #,##0.00_);_(&quot;$&quot;* \(#,##0.00\);_(&quot;$&quot;* &quot;-&quot;??_);_(@_)"/>
    <numFmt numFmtId="182" formatCode="0.00_);[Red]\(0.00\)"/>
  </numFmts>
  <fonts count="23">
    <font>
      <sz val="11"/>
      <color theme="1"/>
      <name val="맑은 고딕"/>
      <charset val="134"/>
      <scheme val="minor"/>
    </font>
    <font>
      <sz val="11"/>
      <color indexed="8"/>
      <name val="Calibri"/>
      <family val="2"/>
    </font>
    <font>
      <sz val="11"/>
      <name val="맑은 고딕"/>
      <family val="4"/>
      <charset val="134"/>
      <scheme val="minor"/>
    </font>
    <font>
      <sz val="10"/>
      <name val="Arial"/>
      <family val="2"/>
    </font>
    <font>
      <sz val="11"/>
      <color indexed="17"/>
      <name val="Calibri"/>
      <family val="2"/>
    </font>
    <font>
      <sz val="11"/>
      <color indexed="9"/>
      <name val="Calibri"/>
      <family val="2"/>
    </font>
    <font>
      <b/>
      <sz val="11"/>
      <color indexed="50"/>
      <name val="Calibri"/>
      <family val="2"/>
    </font>
    <font>
      <sz val="11"/>
      <color indexed="59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b/>
      <sz val="11"/>
      <color indexed="63"/>
      <name val="Calibri"/>
      <family val="2"/>
    </font>
    <font>
      <b/>
      <sz val="13"/>
      <color indexed="18"/>
      <name val="Calibri"/>
      <family val="2"/>
    </font>
    <font>
      <sz val="11"/>
      <color indexed="50"/>
      <name val="Calibri"/>
      <family val="2"/>
    </font>
    <font>
      <sz val="11"/>
      <color indexed="10"/>
      <name val="Calibri"/>
      <family val="2"/>
    </font>
    <font>
      <sz val="11"/>
      <color indexed="36"/>
      <name val="Calibri"/>
      <family val="2"/>
    </font>
    <font>
      <i/>
      <sz val="11"/>
      <color indexed="23"/>
      <name val="Calibri"/>
      <family val="2"/>
    </font>
    <font>
      <sz val="11"/>
      <color indexed="53"/>
      <name val="Calibri"/>
      <family val="2"/>
    </font>
    <font>
      <b/>
      <sz val="11"/>
      <color indexed="9"/>
      <name val="Calibri"/>
      <family val="2"/>
    </font>
    <font>
      <b/>
      <sz val="11"/>
      <color indexed="18"/>
      <name val="Calibri"/>
      <family val="2"/>
    </font>
    <font>
      <b/>
      <sz val="15"/>
      <color indexed="18"/>
      <name val="Calibri"/>
      <family val="2"/>
    </font>
    <font>
      <b/>
      <sz val="18"/>
      <color indexed="18"/>
      <name val="Cambria"/>
      <family val="1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2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4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thick">
        <color indexed="40"/>
      </bottom>
      <diagonal/>
    </border>
  </borders>
  <cellStyleXfs count="46">
    <xf numFmtId="0" fontId="0" fillId="0" borderId="0">
      <alignment vertical="center"/>
    </xf>
    <xf numFmtId="0" fontId="13" fillId="0" borderId="0"/>
    <xf numFmtId="0" fontId="16" fillId="9" borderId="1"/>
    <xf numFmtId="0" fontId="18" fillId="0" borderId="0"/>
    <xf numFmtId="0" fontId="19" fillId="0" borderId="9"/>
    <xf numFmtId="0" fontId="5" fillId="18" borderId="0"/>
    <xf numFmtId="0" fontId="5" fillId="14" borderId="0"/>
    <xf numFmtId="0" fontId="5" fillId="17" borderId="0"/>
    <xf numFmtId="0" fontId="5" fillId="19" borderId="0"/>
    <xf numFmtId="0" fontId="5" fillId="9" borderId="0"/>
    <xf numFmtId="0" fontId="5" fillId="7" borderId="0"/>
    <xf numFmtId="0" fontId="5" fillId="16" borderId="0"/>
    <xf numFmtId="0" fontId="5" fillId="4" borderId="0"/>
    <xf numFmtId="0" fontId="5" fillId="16" borderId="0"/>
    <xf numFmtId="0" fontId="1" fillId="6" borderId="0"/>
    <xf numFmtId="0" fontId="1" fillId="2" borderId="0"/>
    <xf numFmtId="0" fontId="1" fillId="12" borderId="0"/>
    <xf numFmtId="0" fontId="1" fillId="8" borderId="0"/>
    <xf numFmtId="0" fontId="1" fillId="12" borderId="0"/>
    <xf numFmtId="0" fontId="1" fillId="11" borderId="0"/>
    <xf numFmtId="0" fontId="1" fillId="10" borderId="0"/>
    <xf numFmtId="0" fontId="1" fillId="11" borderId="0"/>
    <xf numFmtId="0" fontId="12" fillId="0" borderId="5"/>
    <xf numFmtId="0" fontId="1" fillId="8" borderId="0"/>
    <xf numFmtId="0" fontId="5" fillId="4" borderId="0"/>
    <xf numFmtId="0" fontId="11" fillId="0" borderId="4"/>
    <xf numFmtId="0" fontId="8" fillId="0" borderId="2"/>
    <xf numFmtId="0" fontId="10" fillId="5" borderId="3"/>
    <xf numFmtId="0" fontId="18" fillId="0" borderId="8"/>
    <xf numFmtId="0" fontId="15" fillId="0" borderId="0"/>
    <xf numFmtId="0" fontId="3" fillId="6" borderId="6"/>
    <xf numFmtId="180" fontId="3" fillId="0" borderId="0"/>
    <xf numFmtId="0" fontId="1" fillId="10" borderId="0"/>
    <xf numFmtId="0" fontId="5" fillId="7" borderId="0"/>
    <xf numFmtId="0" fontId="1" fillId="6" borderId="0"/>
    <xf numFmtId="0" fontId="6" fillId="5" borderId="1"/>
    <xf numFmtId="0" fontId="17" fillId="15" borderId="7"/>
    <xf numFmtId="0" fontId="9" fillId="0" borderId="0"/>
    <xf numFmtId="0" fontId="20" fillId="0" borderId="0"/>
    <xf numFmtId="0" fontId="5" fillId="4" borderId="0"/>
    <xf numFmtId="0" fontId="4" fillId="3" borderId="0"/>
    <xf numFmtId="9" fontId="3" fillId="0" borderId="0"/>
    <xf numFmtId="0" fontId="2" fillId="0" borderId="0"/>
    <xf numFmtId="0" fontId="7" fillId="6" borderId="0"/>
    <xf numFmtId="0" fontId="14" fillId="13" borderId="0"/>
    <xf numFmtId="0" fontId="1" fillId="2" borderId="0"/>
  </cellStyleXfs>
  <cellXfs count="6">
    <xf numFmtId="0" fontId="0" fillId="0" borderId="0" xfId="0">
      <alignment vertical="center"/>
    </xf>
    <xf numFmtId="0" fontId="0" fillId="0" borderId="0" xfId="0" applyAlignment="1"/>
    <xf numFmtId="176" fontId="0" fillId="0" borderId="0" xfId="0" applyNumberFormat="1">
      <alignment vertical="center"/>
    </xf>
    <xf numFmtId="182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22" fillId="0" borderId="0" xfId="0" applyFont="1">
      <alignment vertical="center"/>
    </xf>
  </cellXfs>
  <cellStyles count="46">
    <cellStyle name="20% - Accent1 2" xfId="21" xr:uid="{00000000-0005-0000-0000-000015000000}"/>
    <cellStyle name="20% - Accent2 2" xfId="20" xr:uid="{00000000-0005-0000-0000-000014000000}"/>
    <cellStyle name="20% - Accent3 2" xfId="32" xr:uid="{00000000-0005-0000-0000-000031000000}"/>
    <cellStyle name="20% - Accent4 2" xfId="19" xr:uid="{00000000-0005-0000-0000-000013000000}"/>
    <cellStyle name="20% - Accent5 2" xfId="45" xr:uid="{00000000-0005-0000-0000-00005C000000}"/>
    <cellStyle name="20% - Accent6 2" xfId="34" xr:uid="{00000000-0005-0000-0000-000038000000}"/>
    <cellStyle name="40% - Accent1 2" xfId="18" xr:uid="{00000000-0005-0000-0000-000012000000}"/>
    <cellStyle name="40% - Accent2 2" xfId="17" xr:uid="{00000000-0005-0000-0000-000011000000}"/>
    <cellStyle name="40% - Accent3 2" xfId="23" xr:uid="{00000000-0005-0000-0000-000018000000}"/>
    <cellStyle name="40% - Accent4 2" xfId="16" xr:uid="{00000000-0005-0000-0000-000010000000}"/>
    <cellStyle name="40% - Accent5 2" xfId="15" xr:uid="{00000000-0005-0000-0000-00000F000000}"/>
    <cellStyle name="40% - Accent6 2" xfId="14" xr:uid="{00000000-0005-0000-0000-00000E000000}"/>
    <cellStyle name="60% - Accent1 2" xfId="13" xr:uid="{00000000-0005-0000-0000-00000D000000}"/>
    <cellStyle name="60% - Accent2 2" xfId="12" xr:uid="{00000000-0005-0000-0000-00000C000000}"/>
    <cellStyle name="60% - Accent3 2" xfId="24" xr:uid="{00000000-0005-0000-0000-00001D000000}"/>
    <cellStyle name="60% - Accent4 2" xfId="11" xr:uid="{00000000-0005-0000-0000-00000B000000}"/>
    <cellStyle name="60% - Accent5 2" xfId="10" xr:uid="{00000000-0005-0000-0000-00000A000000}"/>
    <cellStyle name="60% - Accent6 2" xfId="9" xr:uid="{00000000-0005-0000-0000-000009000000}"/>
    <cellStyle name="표준" xfId="0" builtinId="0"/>
    <cellStyle name="Accent1 2" xfId="33" xr:uid="{00000000-0005-0000-0000-000036000000}"/>
    <cellStyle name="Accent2 2" xfId="8" xr:uid="{00000000-0005-0000-0000-000008000000}"/>
    <cellStyle name="Accent3 2" xfId="39" xr:uid="{00000000-0005-0000-0000-000044000000}"/>
    <cellStyle name="Accent4 2" xfId="7" xr:uid="{00000000-0005-0000-0000-000007000000}"/>
    <cellStyle name="Accent5 2" xfId="6" xr:uid="{00000000-0005-0000-0000-000006000000}"/>
    <cellStyle name="Accent6 2" xfId="5" xr:uid="{00000000-0005-0000-0000-000005000000}"/>
    <cellStyle name="Bad 2" xfId="44" xr:uid="{00000000-0005-0000-0000-00005A000000}"/>
    <cellStyle name="Calculation 2" xfId="35" xr:uid="{00000000-0005-0000-0000-00003A000000}"/>
    <cellStyle name="Check Cell 2" xfId="36" xr:uid="{00000000-0005-0000-0000-00003E000000}"/>
    <cellStyle name="Currency 2" xfId="31" xr:uid="{00000000-0005-0000-0000-000030000000}"/>
    <cellStyle name="Explanatory Text 2" xfId="29" xr:uid="{00000000-0005-0000-0000-000029000000}"/>
    <cellStyle name="Good 2" xfId="40" xr:uid="{00000000-0005-0000-0000-00004A000000}"/>
    <cellStyle name="Heading 1 2" xfId="4" xr:uid="{00000000-0005-0000-0000-000004000000}"/>
    <cellStyle name="Heading 2 2" xfId="25" xr:uid="{00000000-0005-0000-0000-00001F000000}"/>
    <cellStyle name="Heading 3 2" xfId="28" xr:uid="{00000000-0005-0000-0000-000028000000}"/>
    <cellStyle name="Heading 4 2" xfId="3" xr:uid="{00000000-0005-0000-0000-000003000000}"/>
    <cellStyle name="Input 2" xfId="2" xr:uid="{00000000-0005-0000-0000-000002000000}"/>
    <cellStyle name="Linked Cell 2" xfId="22" xr:uid="{00000000-0005-0000-0000-000017000000}"/>
    <cellStyle name="Neutral 2" xfId="43" xr:uid="{00000000-0005-0000-0000-000058000000}"/>
    <cellStyle name="Normal 2" xfId="42" xr:uid="{00000000-0005-0000-0000-000056000000}"/>
    <cellStyle name="Normal 3" xfId="37" xr:uid="{00000000-0005-0000-0000-000040000000}"/>
    <cellStyle name="Note 2" xfId="30" xr:uid="{00000000-0005-0000-0000-00002C000000}"/>
    <cellStyle name="Output 2" xfId="27" xr:uid="{00000000-0005-0000-0000-000025000000}"/>
    <cellStyle name="Percent 2" xfId="41" xr:uid="{00000000-0005-0000-0000-00004C000000}"/>
    <cellStyle name="Title 2" xfId="38" xr:uid="{00000000-0005-0000-0000-000042000000}"/>
    <cellStyle name="Total 2" xfId="26" xr:uid="{00000000-0005-0000-0000-000024000000}"/>
    <cellStyle name="Warning Text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11" sqref="D11"/>
    </sheetView>
  </sheetViews>
  <sheetFormatPr baseColWidth="10" defaultColWidth="9" defaultRowHeight="17"/>
  <sheetData>
    <row r="1" spans="1:4">
      <c r="A1" s="5" t="s">
        <v>0</v>
      </c>
      <c r="B1" s="5" t="s">
        <v>9</v>
      </c>
      <c r="C1" s="5" t="s">
        <v>10</v>
      </c>
      <c r="D1" s="5" t="s">
        <v>11</v>
      </c>
    </row>
    <row r="2" spans="1:4">
      <c r="A2">
        <v>2015</v>
      </c>
      <c r="B2" s="4">
        <f>(Sheet1!B3-Sheet1!B2)/Sheet1!B2</f>
        <v>0.1</v>
      </c>
      <c r="C2" s="4">
        <f>(Sheet1!C3-Sheet1!C2)/Sheet1!C2</f>
        <v>-0.05</v>
      </c>
      <c r="D2" s="4">
        <f>(Sheet1!D3-Sheet1!D2)/Sheet1!D2</f>
        <v>0.04</v>
      </c>
    </row>
    <row r="3" spans="1:4">
      <c r="A3">
        <v>2016</v>
      </c>
      <c r="B3" s="4">
        <f>(Sheet1!B4-Sheet1!B3)/Sheet1!B3</f>
        <v>-0.05</v>
      </c>
      <c r="C3" s="4">
        <f>(Sheet1!C4-Sheet1!C3)/Sheet1!C3</f>
        <v>0.08</v>
      </c>
      <c r="D3" s="4">
        <f>(Sheet1!D4-Sheet1!D3)/Sheet1!D3</f>
        <v>-0.05</v>
      </c>
    </row>
    <row r="4" spans="1:4">
      <c r="A4">
        <v>2017</v>
      </c>
      <c r="B4" s="4">
        <f>(Sheet1!B5-Sheet1!B4)/Sheet1!B4</f>
        <v>0.1</v>
      </c>
      <c r="C4" s="4">
        <f>(Sheet1!C5-Sheet1!C4)/Sheet1!C4</f>
        <v>3.9999999999999966E-2</v>
      </c>
      <c r="D4" s="4">
        <f>(Sheet1!D5-Sheet1!D4)/Sheet1!D4</f>
        <v>7.4999999999999997E-2</v>
      </c>
    </row>
    <row r="5" spans="1:4">
      <c r="A5">
        <v>2018</v>
      </c>
      <c r="B5" s="4">
        <f>(Sheet1!B6-Sheet1!B5)/Sheet1!B5</f>
        <v>0.05</v>
      </c>
      <c r="C5" s="4">
        <f>(Sheet1!C6-Sheet1!C5)/Sheet1!C5</f>
        <v>-4.000002342929973E-2</v>
      </c>
      <c r="D5" s="4">
        <f>(Sheet1!D6-Sheet1!D5)/Sheet1!D5</f>
        <v>3.0000000000000027E-2</v>
      </c>
    </row>
    <row r="6" spans="1:4">
      <c r="A6">
        <v>2019</v>
      </c>
      <c r="B6" s="4">
        <f>(Sheet1!B7-Sheet1!B6)/Sheet1!B6</f>
        <v>-1.9999999999999934E-2</v>
      </c>
      <c r="C6" s="4">
        <f>(Sheet1!C7-Sheet1!C6)/Sheet1!C6</f>
        <v>7.9999956070061898E-2</v>
      </c>
      <c r="D6" s="4">
        <f>(Sheet1!D7-Sheet1!D6)/Sheet1!D6</f>
        <v>5.0000000000000017E-2</v>
      </c>
    </row>
  </sheetData>
  <phoneticPr fontId="2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workbookViewId="0">
      <selection sqref="A1:I7"/>
    </sheetView>
  </sheetViews>
  <sheetFormatPr baseColWidth="10" defaultColWidth="9" defaultRowHeight="17"/>
  <cols>
    <col min="1" max="1" width="12.83203125" style="1" customWidth="1"/>
    <col min="2" max="2" width="18.1640625" style="1" customWidth="1"/>
    <col min="3" max="3" width="15.1640625" style="1" customWidth="1"/>
    <col min="4" max="4" width="17.1640625" style="1" customWidth="1"/>
    <col min="5" max="5" width="11.5" style="1" customWidth="1"/>
    <col min="6" max="6" width="14.33203125" style="1" customWidth="1"/>
    <col min="7" max="7" width="21.5" style="1" customWidth="1"/>
    <col min="8" max="8" width="15.5" style="1" customWidth="1"/>
    <col min="9" max="9" width="27" style="1" customWidth="1"/>
  </cols>
  <sheetData>
    <row r="1" spans="1:9">
      <c r="A1" t="s">
        <v>0</v>
      </c>
      <c r="B1" t="s">
        <v>6</v>
      </c>
      <c r="C1" t="s">
        <v>7</v>
      </c>
      <c r="D1" t="s">
        <v>8</v>
      </c>
      <c r="E1" t="s">
        <v>1</v>
      </c>
      <c r="F1" t="s">
        <v>2</v>
      </c>
      <c r="G1" t="s">
        <v>3</v>
      </c>
      <c r="H1" t="s">
        <v>4</v>
      </c>
      <c r="I1" t="s">
        <v>5</v>
      </c>
    </row>
    <row r="2" spans="1:9">
      <c r="A2">
        <v>2014</v>
      </c>
      <c r="B2" s="2">
        <v>120000</v>
      </c>
      <c r="C2" s="2">
        <v>80000</v>
      </c>
      <c r="D2" s="2">
        <v>200000</v>
      </c>
      <c r="F2" s="2">
        <v>6762</v>
      </c>
      <c r="G2" s="2">
        <v>50000</v>
      </c>
      <c r="H2" s="2">
        <v>172474</v>
      </c>
    </row>
    <row r="3" spans="1:9">
      <c r="A3">
        <v>2015</v>
      </c>
      <c r="B3" s="2">
        <v>132000</v>
      </c>
      <c r="C3" s="2">
        <v>76000</v>
      </c>
      <c r="D3" s="2">
        <v>208000</v>
      </c>
      <c r="F3" s="2">
        <v>7653</v>
      </c>
      <c r="G3" s="2">
        <v>50000</v>
      </c>
      <c r="H3" s="2">
        <v>196318</v>
      </c>
    </row>
    <row r="4" spans="1:9">
      <c r="A4">
        <v>2016</v>
      </c>
      <c r="B4" s="2">
        <v>125400</v>
      </c>
      <c r="C4" s="2">
        <v>82080</v>
      </c>
      <c r="D4" s="2">
        <v>197600</v>
      </c>
      <c r="F4" s="2">
        <v>8258</v>
      </c>
      <c r="G4" s="2">
        <v>40000</v>
      </c>
      <c r="H4" s="2">
        <v>220797</v>
      </c>
    </row>
    <row r="5" spans="1:9">
      <c r="A5">
        <v>2017</v>
      </c>
      <c r="B5" s="2">
        <v>137940</v>
      </c>
      <c r="C5" s="2">
        <v>85363.199999999997</v>
      </c>
      <c r="D5" s="2">
        <v>212420</v>
      </c>
      <c r="F5" s="2">
        <v>9133</v>
      </c>
      <c r="G5" s="2">
        <v>40000</v>
      </c>
      <c r="H5" s="2">
        <v>239576</v>
      </c>
    </row>
    <row r="6" spans="1:9">
      <c r="A6">
        <v>2018</v>
      </c>
      <c r="B6" s="2">
        <v>144837</v>
      </c>
      <c r="C6" s="2">
        <v>81948.67</v>
      </c>
      <c r="D6" s="2">
        <v>218792.6</v>
      </c>
      <c r="F6" s="2">
        <v>9839</v>
      </c>
      <c r="G6" s="2">
        <v>30000</v>
      </c>
      <c r="H6" s="2">
        <v>253852</v>
      </c>
    </row>
    <row r="7" spans="1:9">
      <c r="A7">
        <v>2019</v>
      </c>
      <c r="B7" s="2">
        <v>141940.26</v>
      </c>
      <c r="C7" s="2">
        <v>88504.56</v>
      </c>
      <c r="D7" s="2">
        <v>229732.23</v>
      </c>
      <c r="F7" s="2">
        <v>10585</v>
      </c>
      <c r="G7" s="2">
        <v>30000</v>
      </c>
      <c r="H7" s="2">
        <v>282688</v>
      </c>
    </row>
    <row r="8" spans="1:9">
      <c r="B8" s="3"/>
      <c r="C8" s="3"/>
    </row>
    <row r="9" spans="1:9">
      <c r="B9" s="3"/>
      <c r="C9" s="3"/>
    </row>
    <row r="10" spans="1:9">
      <c r="B10" s="3"/>
      <c r="C10" s="3"/>
    </row>
  </sheetData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hongxin li</dc:creator>
  <cp:lastModifiedBy>송경호</cp:lastModifiedBy>
  <dcterms:created xsi:type="dcterms:W3CDTF">2023-04-04T10:49:00Z</dcterms:created>
  <dcterms:modified xsi:type="dcterms:W3CDTF">2026-07-20T06:19:11Z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2052-11.1.0.11719</vt:lpwstr>
  </property>
</Properties>
</file>